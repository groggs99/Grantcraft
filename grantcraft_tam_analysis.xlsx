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M Analysis" sheetId="1" state="visible" r:id="rId3"/>
    <sheet name="SAM Analysis" sheetId="2" state="visible" r:id="rId4"/>
    <sheet name="Revenue Model" sheetId="3" state="visible" r:id="rId5"/>
    <sheet name="Unit Economics" sheetId="4" state="visible" r:id="rId6"/>
    <sheet name="Fee &amp; Risk Analysis" sheetId="5" state="visible" r:id="rId7"/>
  </sheets>
  <definedNames>
    <definedName function="false" hidden="true" localSheetId="0" name="_xlnm._FilterDatabase" vbProcedure="false">'TAM Analysis'!$A$4:$E$38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<sst xmlns="http://schemas.openxmlformats.org/spreadsheetml/2006/main" count="275" uniqueCount="230">
  <si>
    <t xml:space="preserve">GrantCraft — Total Addressable Market (TAM) Analysis</t>
  </si>
  <si>
    <t xml:space="preserve">Annual grant funding available to Irish community organisations (2026 estimates)</t>
  </si>
  <si>
    <t xml:space="preserve">Category</t>
  </si>
  <si>
    <t xml:space="preserve">Scheme</t>
  </si>
  <si>
    <t xml:space="preserve">Annual Allocation (€m)</t>
  </si>
  <si>
    <t xml:space="preserve">Community-Accessible (€m)</t>
  </si>
  <si>
    <t xml:space="preserve">Notes / Source</t>
  </si>
  <si>
    <t xml:space="preserve">DRCD — Community</t>
  </si>
  <si>
    <t xml:space="preserve">Community Services Programme (CSP)</t>
  </si>
  <si>
    <t xml:space="preserve">Core funding to 431 social enterprises (Budget 2026)</t>
  </si>
  <si>
    <t xml:space="preserve">SICAP (community grants portion)</t>
  </si>
  <si>
    <t xml:space="preserve">€74m total; most flows to programme implementers. ~€8m in small grants to groups</t>
  </si>
  <si>
    <t xml:space="preserve">Community Centre Investment Fund (CCIF)</t>
  </si>
  <si>
    <t xml:space="preserve">€10k–€100k per project (Budget 2026)</t>
  </si>
  <si>
    <t xml:space="preserve">Local Enhancement Programme (LEP)</t>
  </si>
  <si>
    <t xml:space="preserve">Small grants via LCDCs; 30% ≤€1k</t>
  </si>
  <si>
    <t xml:space="preserve">Community Recognition Fund</t>
  </si>
  <si>
    <t xml:space="preserve">€50m per round; roughly annual since 2023</t>
  </si>
  <si>
    <t xml:space="preserve">SSNO (Stability Support for Nat. Orgs)</t>
  </si>
  <si>
    <t xml:space="preserve">€21m over 2026–2029 cycle ÷ 3</t>
  </si>
  <si>
    <t xml:space="preserve">Dormant Accounts (community portion)</t>
  </si>
  <si>
    <t xml:space="preserve">€47m total across 11 depts; ~€12m community-accessible</t>
  </si>
  <si>
    <t xml:space="preserve">DRCD — Rural</t>
  </si>
  <si>
    <t xml:space="preserve">LEADER Programme</t>
  </si>
  <si>
    <t xml:space="preserve">€32m 2026 allocation; ~€25m to community/enterprise projects</t>
  </si>
  <si>
    <t xml:space="preserve">Town &amp; Village Renewal</t>
  </si>
  <si>
    <t xml:space="preserve">Via LAs, community groups submit expressions of interest</t>
  </si>
  <si>
    <t xml:space="preserve">CLÁR Programme</t>
  </si>
  <si>
    <t xml:space="preserve">Small-scale rural projects, €5k–€100k</t>
  </si>
  <si>
    <t xml:space="preserve">Outdoor Recreation Infrastructure (ORIS)</t>
  </si>
  <si>
    <t xml:space="preserve">Up to €200k; some LA-led, some community-led</t>
  </si>
  <si>
    <t xml:space="preserve">Sports</t>
  </si>
  <si>
    <t xml:space="preserve">Community Sport Facilities Fund (CSFF)</t>
  </si>
  <si>
    <t xml:space="preserve">~€50m avg/round; 95% to clubs/community (€290m total sports prog)</t>
  </si>
  <si>
    <t xml:space="preserve">Sport Ireland Core via NGBs/LSPs</t>
  </si>
  <si>
    <t xml:space="preserve">€33.4m to NGBs/LSPs; small portion re-granted to clubs</t>
  </si>
  <si>
    <t xml:space="preserve">Dormant Accounts — Sport measures</t>
  </si>
  <si>
    <t xml:space="preserve">€10m 2026; community hubs, inclusion projects</t>
  </si>
  <si>
    <t xml:space="preserve">Arts &amp; Heritage</t>
  </si>
  <si>
    <t xml:space="preserve">Arts Council — organisation &amp; project grants</t>
  </si>
  <si>
    <t xml:space="preserve">€140m total; ~€25m accessible to community arts orgs/projects</t>
  </si>
  <si>
    <t xml:space="preserve">Heritage Council — Community Heritage</t>
  </si>
  <si>
    <t xml:space="preserve">€500–€25k per project; ~150 grants/year</t>
  </si>
  <si>
    <t xml:space="preserve">Heritage Council — Org Support Fund</t>
  </si>
  <si>
    <t xml:space="preserve">Up to €50k; ~30–40 heritage organisations</t>
  </si>
  <si>
    <t xml:space="preserve">Creative Health &amp; Wellbeing</t>
  </si>
  <si>
    <t xml:space="preserve">Strand A ≤€70k, Strand B ≤€90k</t>
  </si>
  <si>
    <t xml:space="preserve">Youth</t>
  </si>
  <si>
    <t xml:space="preserve">LYCGS + Youth Capital + Comhairle na nÓg</t>
  </si>
  <si>
    <t xml:space="preserve">Combined estimate; small grants via ETBs</t>
  </si>
  <si>
    <t xml:space="preserve">Cross-border &amp; EU</t>
  </si>
  <si>
    <t xml:space="preserve">PEACEPLUS (community themes)</t>
  </si>
  <si>
    <t xml:space="preserve">€1.14bn total; Change Maker €20k–€100k; border counties only</t>
  </si>
  <si>
    <t xml:space="preserve">Shared Island Civic Society Fund</t>
  </si>
  <si>
    <t xml:space="preserve">Up to €50k per project</t>
  </si>
  <si>
    <t xml:space="preserve">Erasmus+ Sport partnerships</t>
  </si>
  <si>
    <t xml:space="preserve">€30k–€60k small-scale; Irish org must partner EU</t>
  </si>
  <si>
    <t xml:space="preserve">Philanthropic</t>
  </si>
  <si>
    <t xml:space="preserve">Rethink Ireland (all funds)</t>
  </si>
  <si>
    <t xml:space="preserve">Impact Fund, Connected Communities, Brighter Futures</t>
  </si>
  <si>
    <t xml:space="preserve">Ireland Funds</t>
  </si>
  <si>
    <t xml:space="preserve">€5k–€20k; Heart of the Community</t>
  </si>
  <si>
    <t xml:space="preserve">Community Foundation Ireland</t>
  </si>
  <si>
    <t xml:space="preserve">Multiple grant funds; varies annually</t>
  </si>
  <si>
    <t xml:space="preserve">Corporate</t>
  </si>
  <si>
    <t xml:space="preserve">AIB Community €1m Fund</t>
  </si>
  <si>
    <t xml:space="preserve">Annual; community vote</t>
  </si>
  <si>
    <t xml:space="preserve">Bank of Ireland Community Fund</t>
  </si>
  <si>
    <t xml:space="preserve">€10k–€80k</t>
  </si>
  <si>
    <t xml:space="preserve">SSE Airtricity / Renewables funds</t>
  </si>
  <si>
    <t xml:space="preserve">€5m total; some wind farm specific</t>
  </si>
  <si>
    <t xml:space="preserve">ESB Energy for Generations + Others</t>
  </si>
  <si>
    <t xml:space="preserve">ESB, Tesco, ALDI, SuperValu combined</t>
  </si>
  <si>
    <t xml:space="preserve">Local Authority</t>
  </si>
  <si>
    <t xml:space="preserve">LA Community Grants (31 councils)</t>
  </si>
  <si>
    <t xml:space="preserve">Estimated: 31 LAs × ~€650k avg across all schemes</t>
  </si>
  <si>
    <t xml:space="preserve">LA Arts Act Grants</t>
  </si>
  <si>
    <t xml:space="preserve">Estimated across 31 LAs</t>
  </si>
  <si>
    <t xml:space="preserve">LA Heritage/Festival/Sports grants</t>
  </si>
  <si>
    <t xml:space="preserve">Estimated combined across 31 LAs</t>
  </si>
  <si>
    <t xml:space="preserve">TOTAL TAM</t>
  </si>
  <si>
    <t xml:space="preserve">Total Annual Allocation</t>
  </si>
  <si>
    <t xml:space="preserve">Community-accessible annual funding</t>
  </si>
  <si>
    <t xml:space="preserve">GrantCraft — Serviceable Addressable Market (SAM)</t>
  </si>
  <si>
    <t xml:space="preserve">Filtering TAM to grants GrantCraft can realistically service</t>
  </si>
  <si>
    <t xml:space="preserve">Filter Criterion</t>
  </si>
  <si>
    <t xml:space="preserve">Exclusion Rationale</t>
  </si>
  <si>
    <t xml:space="preserve">TAM Reduction (€m)</t>
  </si>
  <si>
    <t xml:space="preserve">Remaining (€m)</t>
  </si>
  <si>
    <t xml:space="preserve">Starting TAM (Community-Accessible)</t>
  </si>
  <si>
    <t xml:space="preserve">Exclude: Architect-led capital (&gt;€200k)</t>
  </si>
  <si>
    <t xml:space="preserve">Large T&amp;V, ORIS, LSSIF, CRF projects need professional design teams</t>
  </si>
  <si>
    <t xml:space="preserve">Exclude: Pre-selected / closed programmes</t>
  </si>
  <si>
    <t xml:space="preserve">CSP (existing orgs only), SSNO (invited), UBU (contracted)</t>
  </si>
  <si>
    <t xml:space="preserve">Exclude: Flows to statutory bodies</t>
  </si>
  <si>
    <t xml:space="preserve">Sport Ireland core to NGBs, SICAP to LDCs, most Arts Council org funding</t>
  </si>
  <si>
    <t xml:space="preserve">Exclude: Requires specialist expertise</t>
  </si>
  <si>
    <t xml:space="preserve">SEAI energy grants (technical), Heritage conservation (architectural)</t>
  </si>
  <si>
    <t xml:space="preserve">Exclude: Geographic restrictions (non-scalable)</t>
  </si>
  <si>
    <t xml:space="preserve">PEACEPLUS border-only (partial), Gaeltacht-only schemes</t>
  </si>
  <si>
    <t xml:space="preserve">Exclude: EU partnership complexity</t>
  </si>
  <si>
    <t xml:space="preserve">Erasmus+ requires cross-border consortium; admin burden high</t>
  </si>
  <si>
    <t xml:space="preserve">SAM — Serviceable Addressable Market</t>
  </si>
  <si>
    <t xml:space="preserve">SAM Characteristics:</t>
  </si>
  <si>
    <t xml:space="preserve">• Primarily narrative-driven grants in the €500–€50,000 range</t>
  </si>
  <si>
    <t xml:space="preserve">• Schemes where community groups apply directly (not via statutory bodies)</t>
  </si>
  <si>
    <t xml:space="preserve">• Includes: LEP, CCIF, CLÁR, LA grants, Heritage grants, Sports Capital equipment, Rethink Ireland, corporate funds</t>
  </si>
  <si>
    <t xml:space="preserve">• Excludes: Large capital builds, pre-contracted programmes, specialist technical applications</t>
  </si>
  <si>
    <t xml:space="preserve">• Sweet spot: ~85% of applications are in the €5k–€50k range where AI automation adds most value</t>
  </si>
  <si>
    <t xml:space="preserve">GrantCraft — Revenue Projection Model</t>
  </si>
  <si>
    <t xml:space="preserve">Fee embedded as budget line item in successful grant applications</t>
  </si>
  <si>
    <t xml:space="preserve">KEY ASSUMPTIONS</t>
  </si>
  <si>
    <t xml:space="preserve">SAM (€m)</t>
  </si>
  <si>
    <t xml:space="preserve">Average grant size (€)</t>
  </si>
  <si>
    <t xml:space="preserve">Estimated applications per year in SAM</t>
  </si>
  <si>
    <t xml:space="preserve">Average grant success rate</t>
  </si>
  <si>
    <t xml:space="preserve">GrantCraft application quality uplift</t>
  </si>
  <si>
    <t xml:space="preserve">Effective success rate (base + uplift)</t>
  </si>
  <si>
    <t xml:space="preserve">Year 1
Conservative</t>
  </si>
  <si>
    <t xml:space="preserve">Year 1
Moderate</t>
  </si>
  <si>
    <t xml:space="preserve">Year 2
Growth</t>
  </si>
  <si>
    <t xml:space="preserve">Year 3
Established</t>
  </si>
  <si>
    <t xml:space="preserve">Market penetration of SAM</t>
  </si>
  <si>
    <t xml:space="preserve">Fee % of grant value</t>
  </si>
  <si>
    <t xml:space="preserve">Addressable funding (€m)</t>
  </si>
  <si>
    <t xml:space="preserve">Est. applications submitted</t>
  </si>
  <si>
    <t xml:space="preserve">Successful applications</t>
  </si>
  <si>
    <t xml:space="preserve">Revenue per app (€)</t>
  </si>
  <si>
    <t xml:space="preserve">ANNUAL REVENUE (€)</t>
  </si>
  <si>
    <t xml:space="preserve">Revenue assuming 80% collection rate (€)</t>
  </si>
  <si>
    <t xml:space="preserve">GrantCraft — Unit Economics</t>
  </si>
  <si>
    <t xml:space="preserve">REVENUE PER APPLICATION</t>
  </si>
  <si>
    <t xml:space="preserve">Average grant size</t>
  </si>
  <si>
    <t xml:space="preserve">Fee percentage</t>
  </si>
  <si>
    <t xml:space="preserve">Revenue per successful app</t>
  </si>
  <si>
    <t xml:space="preserve">COST PER APPLICATION</t>
  </si>
  <si>
    <t xml:space="preserve">AI API cost (Claude — est. 3 calls × $0.05)</t>
  </si>
  <si>
    <t xml:space="preserve">Infrastructure / hosting (amortised per app)</t>
  </si>
  <si>
    <t xml:space="preserve">Support / overhead per app</t>
  </si>
  <si>
    <t xml:space="preserve">Total cost per application</t>
  </si>
  <si>
    <t xml:space="preserve">UNIT MARGIN</t>
  </si>
  <si>
    <t xml:space="preserve">Success rate (effective)</t>
  </si>
  <si>
    <t xml:space="preserve">Expected revenue per app submitted</t>
  </si>
  <si>
    <t xml:space="preserve">Gross margin per app</t>
  </si>
  <si>
    <t xml:space="preserve">Gross margin %</t>
  </si>
  <si>
    <t xml:space="preserve">BREAK-EVEN ANALYSIS</t>
  </si>
  <si>
    <t xml:space="preserve">Monthly fixed costs (estimate)</t>
  </si>
  <si>
    <t xml:space="preserve">Apps needed per month to break even</t>
  </si>
  <si>
    <t xml:space="preserve">COMPETITOR BENCHMARKS</t>
  </si>
  <si>
    <t xml:space="preserve">Irish grant consultant (per application)</t>
  </si>
  <si>
    <t xml:space="preserve">GrantCraft fee (at €15k grant, 2.5%)</t>
  </si>
  <si>
    <t xml:space="preserve">Savings vs consultant</t>
  </si>
  <si>
    <t xml:space="preserve">Savings %</t>
  </si>
  <si>
    <t xml:space="preserve">GrantCraft — Fee Mechanism &amp; Risk Analysis</t>
  </si>
  <si>
    <t xml:space="preserve">Risk Factor</t>
  </si>
  <si>
    <t xml:space="preserve">Severity</t>
  </si>
  <si>
    <t xml:space="preserve">Likelihood</t>
  </si>
  <si>
    <t xml:space="preserve">Mitigation</t>
  </si>
  <si>
    <t xml:space="preserve">Impact on Revenue</t>
  </si>
  <si>
    <t xml:space="preserve">Funder rejects "platform fee" as budget line</t>
  </si>
  <si>
    <t xml:space="preserve">HIGH</t>
  </si>
  <si>
    <t xml:space="preserve">MEDIUM</t>
  </si>
  <si>
    <t xml:space="preserve">Label as "application support / consultancy". Test with 3–4 key schemes first. Some schemes have rigid templates (Sports Capital, LEADER).</t>
  </si>
  <si>
    <t xml:space="preserve">Could exclude 30–40% of SAM if major funders reject</t>
  </si>
  <si>
    <t xml:space="preserve">Low collection rate (social enforcement fails)</t>
  </si>
  <si>
    <t xml:space="preserve">LOW</t>
  </si>
  <si>
    <t xml:space="preserve">Build community reputation layer. Public acknowledgment. Withhold future access. Consider light contractual terms.</t>
  </si>
  <si>
    <t xml:space="preserve">At 60% collection: revenue drops 25% vs 80% baseline</t>
  </si>
  <si>
    <t xml:space="preserve">Grant success rate lower than modelled</t>
  </si>
  <si>
    <t xml:space="preserve">AI quality uplift should improve rates. Track actual rates and adjust. Consider partial fee for unsuccessful apps.</t>
  </si>
  <si>
    <t xml:space="preserve">10% drop in success rate = ~10% revenue reduction</t>
  </si>
  <si>
    <t xml:space="preserve">Community groups resist fee concept</t>
  </si>
  <si>
    <t xml:space="preserve">Fee is invisible (paid from grant, not pocket). Position vs €1,500 consultant alternative. Free tier for smallest grants.</t>
  </si>
  <si>
    <t xml:space="preserve">Slower adoption; 50% longer to reach penetration targets</t>
  </si>
  <si>
    <t xml:space="preserve">Competition from grant consultant firms</t>
  </si>
  <si>
    <t xml:space="preserve">95%+ cheaper than consultants. Speed advantage. 24/7 availability. Consultants focus on larger projects.</t>
  </si>
  <si>
    <t xml:space="preserve">Limited; GrantCraft serves underserved segment</t>
  </si>
  <si>
    <t xml:space="preserve">AI-generated applications flagged by funders</t>
  </si>
  <si>
    <t xml:space="preserve">LOW–MEDIUM</t>
  </si>
  <si>
    <t xml:space="preserve">Human review step. Organisation-specific customisation. Avoid template language. Build funder relationships.</t>
  </si>
  <si>
    <t xml:space="preserve">Reputational risk; could reduce success rates</t>
  </si>
  <si>
    <t xml:space="preserve">Regulatory change to grant schemes</t>
  </si>
  <si>
    <t xml:space="preserve">Database refresh cycle. Monitor gov.ie and scheme announcements. Diversify across 70+ schemes.</t>
  </si>
  <si>
    <t xml:space="preserve">Individual scheme risk; portfolio approach mitigates</t>
  </si>
  <si>
    <t xml:space="preserve">GDPR / data handling concerns</t>
  </si>
  <si>
    <t xml:space="preserve">Irish-hosted data. Clear privacy policy. Minimal data collection. Org controls their own data.</t>
  </si>
  <si>
    <t xml:space="preserve">Compliance cost; not a revenue risk if handled properly</t>
  </si>
  <si>
    <t xml:space="preserve">FEE MECHANISM — SCHEME COMPATIBILITY</t>
  </si>
  <si>
    <t xml:space="preserve">Eligible Budget Category</t>
  </si>
  <si>
    <t xml:space="preserve">Fee Fits?</t>
  </si>
  <si>
    <t xml:space="preserve">Notes</t>
  </si>
  <si>
    <t xml:space="preserve">Sports Capital (CSFF)</t>
  </si>
  <si>
    <t xml:space="preserve">Equipment + capital works only</t>
  </si>
  <si>
    <t xml:space="preserve">NO</t>
  </si>
  <si>
    <t xml:space="preserve">No professional services line. Fee would need to sit outside grant budget.</t>
  </si>
  <si>
    <t xml:space="preserve">LEADER</t>
  </si>
  <si>
    <t xml:space="preserve">Professional fees, consultancy eligible</t>
  </si>
  <si>
    <t xml:space="preserve">YES</t>
  </si>
  <si>
    <t xml:space="preserve">Up to 12% of project costs for professional fees typically allowed</t>
  </si>
  <si>
    <t xml:space="preserve">CLÁR</t>
  </si>
  <si>
    <t xml:space="preserve">Capital costs, community facilities</t>
  </si>
  <si>
    <t xml:space="preserve">UNLIKELY</t>
  </si>
  <si>
    <t xml:space="preserve">Small capital grants; no obvious consultancy line</t>
  </si>
  <si>
    <t xml:space="preserve">CCIF</t>
  </si>
  <si>
    <t xml:space="preserve">Capital + some project management</t>
  </si>
  <si>
    <t xml:space="preserve">POSSIBLE</t>
  </si>
  <si>
    <t xml:space="preserve">Larger projects may include admin/consultancy as eligible</t>
  </si>
  <si>
    <t xml:space="preserve">LEP</t>
  </si>
  <si>
    <t xml:space="preserve">Flexible — community decided via LCDC</t>
  </si>
  <si>
    <t xml:space="preserve">LCDCs have discretion on eligible costs</t>
  </si>
  <si>
    <t xml:space="preserve">LA Community Grants</t>
  </si>
  <si>
    <t xml:space="preserve">Varies by LA — usually flexible</t>
  </si>
  <si>
    <t xml:space="preserve">Most LA schemes broadly define eligible costs</t>
  </si>
  <si>
    <t xml:space="preserve">Heritage Council</t>
  </si>
  <si>
    <t xml:space="preserve">Project costs including consultancy</t>
  </si>
  <si>
    <t xml:space="preserve">Professional fees explicitly eligible</t>
  </si>
  <si>
    <t xml:space="preserve">Arts Council</t>
  </si>
  <si>
    <t xml:space="preserve">Project costs including admin</t>
  </si>
  <si>
    <t xml:space="preserve">Admin costs typically eligible up to 10–15%</t>
  </si>
  <si>
    <t xml:space="preserve">Rethink Ireland</t>
  </si>
  <si>
    <t xml:space="preserve">Flexible social innovation model</t>
  </si>
  <si>
    <t xml:space="preserve">Innovation-friendly; operational costs eligible</t>
  </si>
  <si>
    <t xml:space="preserve">PEACEPLUS Change Maker</t>
  </si>
  <si>
    <t xml:space="preserve">Project delivery costs</t>
  </si>
  <si>
    <t xml:space="preserve">Professional support costs eligible</t>
  </si>
  <si>
    <t xml:space="preserve">Corporate funds (AIB, BOI)</t>
  </si>
  <si>
    <t xml:space="preserve">Varies — usually flexible</t>
  </si>
  <si>
    <t xml:space="preserve">Less rigid budget templates</t>
  </si>
  <si>
    <t xml:space="preserve">Capital + professional fees</t>
  </si>
  <si>
    <t xml:space="preserve">Professional fees line item exists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</si>
</sst>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.0"/>
    <numFmt numFmtId="166" formatCode="\€#,##0"/>
    <numFmt numFmtId="167" formatCode="#,##0"/>
    <numFmt numFmtId="168" formatCode="0.0%"/>
    <numFmt numFmtId="169" formatCode="\€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4057"/>
      <name val="Arial"/>
      <family val="0"/>
      <charset val="1"/>
    </font>
    <font>
      <b val="true"/>
      <sz val="12"/>
      <color rgb="FF4A7C59"/>
      <name val="Arial"/>
      <family val="0"/>
      <charset val="1"/>
    </font>
    <font>
      <b val="true"/>
      <sz val="12"/>
      <color rgb="FFD4A843"/>
      <name val="Arial"/>
      <family val="0"/>
      <charset val="1"/>
    </font>
    <font>
      <b val="true"/>
      <sz val="11"/>
      <color rgb="FF6B4C9A"/>
      <name val="Arial"/>
      <family val="0"/>
      <charset val="1"/>
    </font>
    <font>
      <b val="true"/>
      <sz val="11"/>
      <color rgb="FFC75B3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F0F4F0"/>
        <bgColor rgb="FFF0ECF5"/>
      </patternFill>
    </fill>
    <fill>
      <patternFill patternType="solid">
        <fgColor rgb="FFD4A843"/>
        <bgColor rgb="FFFFCC00"/>
      </patternFill>
    </fill>
    <fill>
      <patternFill patternType="solid">
        <fgColor rgb="FFF0ECF5"/>
        <bgColor rgb="FFF0F4F0"/>
      </patternFill>
    </fill>
    <fill>
      <patternFill patternType="solid">
        <fgColor rgb="FFC75B39"/>
        <bgColor rgb="FF993366"/>
      </patternFill>
    </fill>
    <fill>
      <patternFill patternType="solid">
        <fgColor rgb="FFFFCDD2"/>
        <bgColor rgb="FFF0ECF5"/>
      </patternFill>
    </fill>
    <fill>
      <patternFill patternType="solid">
        <fgColor rgb="FFFFF9C4"/>
        <bgColor rgb="FFFFFDE7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4057"/>
          <bgColor rgb="FF000000"/>
        </patternFill>
      </fill>
    </dxf>
    <dxf>
      <fill>
        <patternFill patternType="solid">
          <fgColor rgb="FFF0F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6B4C9A"/>
      <rgbColor rgb="FFFFF9C4"/>
      <rgbColor rgb="FFF0F4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CF5"/>
      <rgbColor rgb="FFC8E6C9"/>
      <rgbColor rgb="FFFFFDE7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D4A843"/>
      <rgbColor rgb="FFC75B39"/>
      <rgbColor rgb="FF666666"/>
      <rgbColor rgb="FF969696"/>
      <rgbColor rgb="FF003366"/>
      <rgbColor rgb="FF4A7C59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5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s">
        <v>8</v>
      </c>
      <c r="C5" s="7" t="n">
        <v>59.4</v>
      </c>
      <c r="D5" s="7" t="n">
        <v>59.4</v>
      </c>
      <c r="E5" s="6" t="s">
        <v>9</v>
      </c>
    </row>
    <row r="6" customFormat="false" ht="15" hidden="false" customHeight="true" outlineLevel="0" collapsed="false">
      <c r="A6" s="8" t="s">
        <v>7</v>
      </c>
      <c r="B6" s="9" t="s">
        <v>10</v>
      </c>
      <c r="C6" s="7" t="n">
        <v>74</v>
      </c>
      <c r="D6" s="7" t="n">
        <v>8</v>
      </c>
      <c r="E6" s="9" t="s">
        <v>11</v>
      </c>
    </row>
    <row r="7" customFormat="false" ht="15" hidden="false" customHeight="true" outlineLevel="0" collapsed="false">
      <c r="A7" s="10" t="s">
        <v>7</v>
      </c>
      <c r="B7" s="6" t="s">
        <v>12</v>
      </c>
      <c r="C7" s="7" t="n">
        <v>20</v>
      </c>
      <c r="D7" s="7" t="n">
        <v>20</v>
      </c>
      <c r="E7" s="6" t="s">
        <v>13</v>
      </c>
    </row>
    <row r="8" customFormat="false" ht="15" hidden="false" customHeight="true" outlineLevel="0" collapsed="false">
      <c r="A8" s="8" t="s">
        <v>7</v>
      </c>
      <c r="B8" s="9" t="s">
        <v>14</v>
      </c>
      <c r="C8" s="7" t="n">
        <v>7</v>
      </c>
      <c r="D8" s="7" t="n">
        <v>7</v>
      </c>
      <c r="E8" s="9" t="s">
        <v>15</v>
      </c>
    </row>
    <row r="9" customFormat="false" ht="15" hidden="false" customHeight="true" outlineLevel="0" collapsed="false">
      <c r="A9" s="10" t="s">
        <v>7</v>
      </c>
      <c r="B9" s="6" t="s">
        <v>16</v>
      </c>
      <c r="C9" s="7" t="n">
        <v>25</v>
      </c>
      <c r="D9" s="7" t="n">
        <v>25</v>
      </c>
      <c r="E9" s="6" t="s">
        <v>17</v>
      </c>
    </row>
    <row r="10" customFormat="false" ht="15" hidden="false" customHeight="true" outlineLevel="0" collapsed="false">
      <c r="A10" s="8" t="s">
        <v>7</v>
      </c>
      <c r="B10" s="9" t="s">
        <v>18</v>
      </c>
      <c r="C10" s="7" t="n">
        <v>7</v>
      </c>
      <c r="D10" s="7" t="n">
        <v>7</v>
      </c>
      <c r="E10" s="9" t="s">
        <v>19</v>
      </c>
    </row>
    <row r="11" customFormat="false" ht="15" hidden="false" customHeight="true" outlineLevel="0" collapsed="false">
      <c r="A11" s="10" t="s">
        <v>7</v>
      </c>
      <c r="B11" s="6" t="s">
        <v>20</v>
      </c>
      <c r="C11" s="7" t="n">
        <v>47</v>
      </c>
      <c r="D11" s="7" t="n">
        <v>12</v>
      </c>
      <c r="E11" s="6" t="s">
        <v>21</v>
      </c>
    </row>
    <row r="12" customFormat="false" ht="15" hidden="false" customHeight="true" outlineLevel="0" collapsed="false">
      <c r="A12" s="11" t="s">
        <v>22</v>
      </c>
      <c r="B12" s="9" t="s">
        <v>23</v>
      </c>
      <c r="C12" s="7" t="n">
        <v>32</v>
      </c>
      <c r="D12" s="7" t="n">
        <v>25</v>
      </c>
      <c r="E12" s="9" t="s">
        <v>24</v>
      </c>
    </row>
    <row r="13" customFormat="false" ht="15" hidden="false" customHeight="true" outlineLevel="0" collapsed="false">
      <c r="A13" s="10" t="s">
        <v>22</v>
      </c>
      <c r="B13" s="6" t="s">
        <v>25</v>
      </c>
      <c r="C13" s="7" t="n">
        <v>21</v>
      </c>
      <c r="D13" s="7" t="n">
        <v>21</v>
      </c>
      <c r="E13" s="6" t="s">
        <v>26</v>
      </c>
    </row>
    <row r="14" customFormat="false" ht="15" hidden="false" customHeight="true" outlineLevel="0" collapsed="false">
      <c r="A14" s="8" t="s">
        <v>22</v>
      </c>
      <c r="B14" s="9" t="s">
        <v>27</v>
      </c>
      <c r="C14" s="7" t="n">
        <v>12</v>
      </c>
      <c r="D14" s="7" t="n">
        <v>12</v>
      </c>
      <c r="E14" s="9" t="s">
        <v>28</v>
      </c>
    </row>
    <row r="15" customFormat="false" ht="15" hidden="false" customHeight="true" outlineLevel="0" collapsed="false">
      <c r="A15" s="10" t="s">
        <v>22</v>
      </c>
      <c r="B15" s="6" t="s">
        <v>29</v>
      </c>
      <c r="C15" s="7" t="n">
        <v>17</v>
      </c>
      <c r="D15" s="7" t="n">
        <v>10</v>
      </c>
      <c r="E15" s="6" t="s">
        <v>30</v>
      </c>
    </row>
    <row r="16" customFormat="false" ht="15" hidden="false" customHeight="true" outlineLevel="0" collapsed="false">
      <c r="A16" s="11" t="s">
        <v>31</v>
      </c>
      <c r="B16" s="9" t="s">
        <v>32</v>
      </c>
      <c r="C16" s="7" t="n">
        <v>50</v>
      </c>
      <c r="D16" s="7" t="n">
        <v>45</v>
      </c>
      <c r="E16" s="9" t="s">
        <v>33</v>
      </c>
    </row>
    <row r="17" customFormat="false" ht="15" hidden="false" customHeight="true" outlineLevel="0" collapsed="false">
      <c r="A17" s="10" t="s">
        <v>31</v>
      </c>
      <c r="B17" s="6" t="s">
        <v>34</v>
      </c>
      <c r="C17" s="7" t="n">
        <v>33.4</v>
      </c>
      <c r="D17" s="7" t="n">
        <v>5</v>
      </c>
      <c r="E17" s="6" t="s">
        <v>35</v>
      </c>
    </row>
    <row r="18" customFormat="false" ht="15" hidden="false" customHeight="true" outlineLevel="0" collapsed="false">
      <c r="A18" s="8" t="s">
        <v>31</v>
      </c>
      <c r="B18" s="9" t="s">
        <v>36</v>
      </c>
      <c r="C18" s="7" t="n">
        <v>10</v>
      </c>
      <c r="D18" s="7" t="n">
        <v>6</v>
      </c>
      <c r="E18" s="9" t="s">
        <v>37</v>
      </c>
    </row>
    <row r="19" customFormat="false" ht="15" hidden="false" customHeight="true" outlineLevel="0" collapsed="false">
      <c r="A19" s="5" t="s">
        <v>38</v>
      </c>
      <c r="B19" s="6" t="s">
        <v>39</v>
      </c>
      <c r="C19" s="7" t="n">
        <v>140</v>
      </c>
      <c r="D19" s="7" t="n">
        <v>25</v>
      </c>
      <c r="E19" s="6" t="s">
        <v>40</v>
      </c>
    </row>
    <row r="20" customFormat="false" ht="15" hidden="false" customHeight="true" outlineLevel="0" collapsed="false">
      <c r="A20" s="8" t="s">
        <v>38</v>
      </c>
      <c r="B20" s="9" t="s">
        <v>41</v>
      </c>
      <c r="C20" s="7" t="n">
        <v>3</v>
      </c>
      <c r="D20" s="7" t="n">
        <v>3</v>
      </c>
      <c r="E20" s="9" t="s">
        <v>42</v>
      </c>
    </row>
    <row r="21" customFormat="false" ht="15" hidden="false" customHeight="true" outlineLevel="0" collapsed="false">
      <c r="A21" s="10" t="s">
        <v>38</v>
      </c>
      <c r="B21" s="6" t="s">
        <v>43</v>
      </c>
      <c r="C21" s="7" t="n">
        <v>2</v>
      </c>
      <c r="D21" s="7" t="n">
        <v>2</v>
      </c>
      <c r="E21" s="6" t="s">
        <v>44</v>
      </c>
    </row>
    <row r="22" customFormat="false" ht="15" hidden="false" customHeight="true" outlineLevel="0" collapsed="false">
      <c r="A22" s="8" t="s">
        <v>38</v>
      </c>
      <c r="B22" s="9" t="s">
        <v>45</v>
      </c>
      <c r="C22" s="7" t="n">
        <v>5</v>
      </c>
      <c r="D22" s="7" t="n">
        <v>5</v>
      </c>
      <c r="E22" s="9" t="s">
        <v>46</v>
      </c>
    </row>
    <row r="23" customFormat="false" ht="15" hidden="false" customHeight="true" outlineLevel="0" collapsed="false">
      <c r="A23" s="5" t="s">
        <v>47</v>
      </c>
      <c r="B23" s="6" t="s">
        <v>48</v>
      </c>
      <c r="C23" s="7" t="n">
        <v>8</v>
      </c>
      <c r="D23" s="7" t="n">
        <v>8</v>
      </c>
      <c r="E23" s="6" t="s">
        <v>49</v>
      </c>
    </row>
    <row r="24" customFormat="false" ht="15" hidden="false" customHeight="true" outlineLevel="0" collapsed="false">
      <c r="A24" s="11" t="s">
        <v>50</v>
      </c>
      <c r="B24" s="9" t="s">
        <v>51</v>
      </c>
      <c r="C24" s="7" t="n">
        <v>30</v>
      </c>
      <c r="D24" s="7" t="n">
        <v>15</v>
      </c>
      <c r="E24" s="9" t="s">
        <v>52</v>
      </c>
    </row>
    <row r="25" customFormat="false" ht="15" hidden="false" customHeight="true" outlineLevel="0" collapsed="false">
      <c r="A25" s="10" t="s">
        <v>50</v>
      </c>
      <c r="B25" s="6" t="s">
        <v>53</v>
      </c>
      <c r="C25" s="7" t="n">
        <v>3</v>
      </c>
      <c r="D25" s="7" t="n">
        <v>3</v>
      </c>
      <c r="E25" s="6" t="s">
        <v>54</v>
      </c>
    </row>
    <row r="26" customFormat="false" ht="15" hidden="false" customHeight="true" outlineLevel="0" collapsed="false">
      <c r="A26" s="8" t="s">
        <v>50</v>
      </c>
      <c r="B26" s="9" t="s">
        <v>55</v>
      </c>
      <c r="C26" s="7" t="n">
        <v>2</v>
      </c>
      <c r="D26" s="7" t="n">
        <v>2</v>
      </c>
      <c r="E26" s="9" t="s">
        <v>56</v>
      </c>
    </row>
    <row r="27" customFormat="false" ht="15" hidden="false" customHeight="true" outlineLevel="0" collapsed="false">
      <c r="A27" s="5" t="s">
        <v>57</v>
      </c>
      <c r="B27" s="6" t="s">
        <v>58</v>
      </c>
      <c r="C27" s="7" t="n">
        <v>15</v>
      </c>
      <c r="D27" s="7" t="n">
        <v>15</v>
      </c>
      <c r="E27" s="6" t="s">
        <v>59</v>
      </c>
    </row>
    <row r="28" customFormat="false" ht="15" hidden="false" customHeight="true" outlineLevel="0" collapsed="false">
      <c r="A28" s="8" t="s">
        <v>57</v>
      </c>
      <c r="B28" s="9" t="s">
        <v>60</v>
      </c>
      <c r="C28" s="7" t="n">
        <v>1</v>
      </c>
      <c r="D28" s="7" t="n">
        <v>1</v>
      </c>
      <c r="E28" s="9" t="s">
        <v>61</v>
      </c>
    </row>
    <row r="29" customFormat="false" ht="15" hidden="false" customHeight="true" outlineLevel="0" collapsed="false">
      <c r="A29" s="10" t="s">
        <v>57</v>
      </c>
      <c r="B29" s="6" t="s">
        <v>62</v>
      </c>
      <c r="C29" s="7" t="n">
        <v>5</v>
      </c>
      <c r="D29" s="7" t="n">
        <v>5</v>
      </c>
      <c r="E29" s="6" t="s">
        <v>63</v>
      </c>
    </row>
    <row r="30" customFormat="false" ht="15" hidden="false" customHeight="true" outlineLevel="0" collapsed="false">
      <c r="A30" s="11" t="s">
        <v>64</v>
      </c>
      <c r="B30" s="9" t="s">
        <v>65</v>
      </c>
      <c r="C30" s="7" t="n">
        <v>1</v>
      </c>
      <c r="D30" s="7" t="n">
        <v>1</v>
      </c>
      <c r="E30" s="9" t="s">
        <v>66</v>
      </c>
    </row>
    <row r="31" customFormat="false" ht="15" hidden="false" customHeight="true" outlineLevel="0" collapsed="false">
      <c r="A31" s="10" t="s">
        <v>64</v>
      </c>
      <c r="B31" s="6" t="s">
        <v>67</v>
      </c>
      <c r="C31" s="7" t="n">
        <v>3</v>
      </c>
      <c r="D31" s="7" t="n">
        <v>3</v>
      </c>
      <c r="E31" s="6" t="s">
        <v>68</v>
      </c>
    </row>
    <row r="32" customFormat="false" ht="15" hidden="false" customHeight="true" outlineLevel="0" collapsed="false">
      <c r="A32" s="8" t="s">
        <v>64</v>
      </c>
      <c r="B32" s="9" t="s">
        <v>69</v>
      </c>
      <c r="C32" s="7" t="n">
        <v>5</v>
      </c>
      <c r="D32" s="7" t="n">
        <v>3</v>
      </c>
      <c r="E32" s="9" t="s">
        <v>70</v>
      </c>
    </row>
    <row r="33" customFormat="false" ht="15" hidden="false" customHeight="true" outlineLevel="0" collapsed="false">
      <c r="A33" s="10" t="s">
        <v>64</v>
      </c>
      <c r="B33" s="6" t="s">
        <v>71</v>
      </c>
      <c r="C33" s="7" t="n">
        <v>3</v>
      </c>
      <c r="D33" s="7" t="n">
        <v>2</v>
      </c>
      <c r="E33" s="6" t="s">
        <v>72</v>
      </c>
    </row>
    <row r="34" customFormat="false" ht="15" hidden="false" customHeight="true" outlineLevel="0" collapsed="false">
      <c r="A34" s="11" t="s">
        <v>73</v>
      </c>
      <c r="B34" s="9" t="s">
        <v>74</v>
      </c>
      <c r="C34" s="7" t="n">
        <v>20</v>
      </c>
      <c r="D34" s="7" t="n">
        <v>20</v>
      </c>
      <c r="E34" s="9" t="s">
        <v>75</v>
      </c>
    </row>
    <row r="35" customFormat="false" ht="15" hidden="false" customHeight="true" outlineLevel="0" collapsed="false">
      <c r="A35" s="10" t="s">
        <v>73</v>
      </c>
      <c r="B35" s="6" t="s">
        <v>76</v>
      </c>
      <c r="C35" s="7" t="n">
        <v>5</v>
      </c>
      <c r="D35" s="7" t="n">
        <v>5</v>
      </c>
      <c r="E35" s="6" t="s">
        <v>77</v>
      </c>
    </row>
    <row r="36" customFormat="false" ht="15" hidden="false" customHeight="true" outlineLevel="0" collapsed="false">
      <c r="A36" s="8" t="s">
        <v>73</v>
      </c>
      <c r="B36" s="9" t="s">
        <v>78</v>
      </c>
      <c r="C36" s="7" t="n">
        <v>8</v>
      </c>
      <c r="D36" s="7" t="n">
        <v>8</v>
      </c>
      <c r="E36" s="9" t="s">
        <v>79</v>
      </c>
    </row>
    <row r="38" customFormat="false" ht="15" hidden="false" customHeight="true" outlineLevel="0" collapsed="false">
      <c r="A38" s="12" t="s">
        <v>80</v>
      </c>
      <c r="B38" s="13" t="s">
        <v>81</v>
      </c>
      <c r="C38" s="14" t="n">
        <f aca="false">SUM(C5:C36)</f>
        <v>673.8</v>
      </c>
      <c r="D38" s="15" t="n">
        <f aca="false">SUM(D5:D36)</f>
        <v>388.4</v>
      </c>
      <c r="E38" s="3" t="s">
        <v>82</v>
      </c>
    </row>
  </sheetData>
  <autoFilter ref="A4:E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55"/>
    <col collapsed="false" customWidth="true" hidden="false" outlineLevel="0" max="4" min="3" style="1" width="22"/>
  </cols>
  <sheetData>
    <row r="1" customFormat="false" ht="17.25" hidden="false" customHeight="true" outlineLevel="0" collapsed="false">
      <c r="A1" s="2" t="s">
        <v>83</v>
      </c>
    </row>
    <row r="2" customFormat="false" ht="15" hidden="false" customHeight="true" outlineLevel="0" collapsed="false">
      <c r="A2" s="3" t="s">
        <v>84</v>
      </c>
    </row>
    <row r="4" customFormat="false" ht="15" hidden="false" customHeight="true" outlineLevel="0" collapsed="false">
      <c r="A4" s="4" t="s">
        <v>85</v>
      </c>
      <c r="B4" s="4" t="s">
        <v>86</v>
      </c>
      <c r="C4" s="4" t="s">
        <v>87</v>
      </c>
      <c r="D4" s="4" t="s">
        <v>88</v>
      </c>
    </row>
    <row r="5" customFormat="false" ht="15" hidden="false" customHeight="true" outlineLevel="0" collapsed="false">
      <c r="A5" s="5" t="s">
        <v>89</v>
      </c>
      <c r="B5" s="16"/>
      <c r="C5" s="16"/>
      <c r="D5" s="17" t="n">
        <f aca="false">'TAM Analysis'!D38</f>
        <v>388.4</v>
      </c>
    </row>
    <row r="6" customFormat="false" ht="15" hidden="false" customHeight="true" outlineLevel="0" collapsed="false">
      <c r="A6" s="6" t="s">
        <v>90</v>
      </c>
      <c r="B6" s="6" t="s">
        <v>91</v>
      </c>
      <c r="C6" s="7" t="n">
        <v>45</v>
      </c>
      <c r="D6" s="18" t="n">
        <f aca="false">D5-C6</f>
        <v>343.4</v>
      </c>
    </row>
    <row r="7" customFormat="false" ht="15" hidden="false" customHeight="true" outlineLevel="0" collapsed="false">
      <c r="A7" s="9" t="s">
        <v>92</v>
      </c>
      <c r="B7" s="9" t="s">
        <v>93</v>
      </c>
      <c r="C7" s="7" t="n">
        <v>70</v>
      </c>
      <c r="D7" s="19" t="n">
        <f aca="false">D6-C7</f>
        <v>273.4</v>
      </c>
    </row>
    <row r="8" customFormat="false" ht="15" hidden="false" customHeight="true" outlineLevel="0" collapsed="false">
      <c r="A8" s="6" t="s">
        <v>94</v>
      </c>
      <c r="B8" s="6" t="s">
        <v>95</v>
      </c>
      <c r="C8" s="7" t="n">
        <v>30</v>
      </c>
      <c r="D8" s="18" t="n">
        <f aca="false">D7-C8</f>
        <v>243.4</v>
      </c>
    </row>
    <row r="9" customFormat="false" ht="15" hidden="false" customHeight="true" outlineLevel="0" collapsed="false">
      <c r="A9" s="9" t="s">
        <v>96</v>
      </c>
      <c r="B9" s="9" t="s">
        <v>97</v>
      </c>
      <c r="C9" s="7" t="n">
        <v>8</v>
      </c>
      <c r="D9" s="19" t="n">
        <f aca="false">D8-C9</f>
        <v>235.4</v>
      </c>
    </row>
    <row r="10" customFormat="false" ht="15" hidden="false" customHeight="true" outlineLevel="0" collapsed="false">
      <c r="A10" s="6" t="s">
        <v>98</v>
      </c>
      <c r="B10" s="6" t="s">
        <v>99</v>
      </c>
      <c r="C10" s="7" t="n">
        <v>5</v>
      </c>
      <c r="D10" s="18" t="n">
        <f aca="false">D9-C10</f>
        <v>230.4</v>
      </c>
    </row>
    <row r="11" customFormat="false" ht="15" hidden="false" customHeight="true" outlineLevel="0" collapsed="false">
      <c r="A11" s="9" t="s">
        <v>100</v>
      </c>
      <c r="B11" s="9" t="s">
        <v>101</v>
      </c>
      <c r="C11" s="7" t="n">
        <v>2</v>
      </c>
      <c r="D11" s="19" t="n">
        <f aca="false">D10-C11</f>
        <v>228.4</v>
      </c>
    </row>
    <row r="13" customFormat="false" ht="15" hidden="false" customHeight="true" outlineLevel="0" collapsed="false">
      <c r="A13" s="20" t="s">
        <v>102</v>
      </c>
      <c r="D13" s="21" t="n">
        <f aca="false">D11</f>
        <v>228.4</v>
      </c>
    </row>
    <row r="15" customFormat="false" ht="15" hidden="false" customHeight="true" outlineLevel="0" collapsed="false">
      <c r="A15" s="13" t="s">
        <v>103</v>
      </c>
    </row>
    <row r="16" customFormat="false" ht="15" hidden="false" customHeight="true" outlineLevel="0" collapsed="false">
      <c r="A16" s="3" t="s">
        <v>104</v>
      </c>
    </row>
    <row r="17" customFormat="false" ht="15" hidden="false" customHeight="true" outlineLevel="0" collapsed="false">
      <c r="A17" s="3" t="s">
        <v>105</v>
      </c>
    </row>
    <row r="18" customFormat="false" ht="15" hidden="false" customHeight="true" outlineLevel="0" collapsed="false">
      <c r="A18" s="3" t="s">
        <v>106</v>
      </c>
    </row>
    <row r="19" customFormat="false" ht="15" hidden="false" customHeight="true" outlineLevel="0" collapsed="false">
      <c r="A19" s="3" t="s">
        <v>107</v>
      </c>
    </row>
    <row r="20" customFormat="false" ht="15" hidden="false" customHeight="true" outlineLevel="0" collapsed="false">
      <c r="A20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109</v>
      </c>
    </row>
    <row r="2" customFormat="false" ht="15" hidden="false" customHeight="true" outlineLevel="0" collapsed="false">
      <c r="A2" s="3" t="s">
        <v>110</v>
      </c>
    </row>
    <row r="4" customFormat="false" ht="15" hidden="false" customHeight="true" outlineLevel="0" collapsed="false">
      <c r="A4" s="22" t="s">
        <v>111</v>
      </c>
      <c r="B4" s="23"/>
      <c r="C4" s="23"/>
    </row>
    <row r="5" customFormat="false" ht="15" hidden="false" customHeight="true" outlineLevel="0" collapsed="false">
      <c r="A5" s="5" t="s">
        <v>112</v>
      </c>
      <c r="B5" s="18" t="n">
        <f aca="false">'SAM Analysis'!D13</f>
        <v>228.4</v>
      </c>
    </row>
    <row r="6" customFormat="false" ht="15" hidden="false" customHeight="true" outlineLevel="0" collapsed="false">
      <c r="A6" s="5" t="s">
        <v>113</v>
      </c>
      <c r="B6" s="24" t="n">
        <v>15000</v>
      </c>
    </row>
    <row r="7" customFormat="false" ht="15" hidden="false" customHeight="true" outlineLevel="0" collapsed="false">
      <c r="A7" s="5" t="s">
        <v>114</v>
      </c>
      <c r="B7" s="25" t="n">
        <f aca="false">B5*1000000/B6</f>
        <v>15226.6666666667</v>
      </c>
    </row>
    <row r="8" customFormat="false" ht="15" hidden="false" customHeight="true" outlineLevel="0" collapsed="false">
      <c r="A8" s="5" t="s">
        <v>115</v>
      </c>
      <c r="B8" s="26" t="n">
        <v>0.4</v>
      </c>
    </row>
    <row r="9" customFormat="false" ht="15" hidden="false" customHeight="true" outlineLevel="0" collapsed="false">
      <c r="A9" s="5" t="s">
        <v>116</v>
      </c>
      <c r="B9" s="26" t="n">
        <v>0.1</v>
      </c>
    </row>
    <row r="10" customFormat="false" ht="15" hidden="false" customHeight="true" outlineLevel="0" collapsed="false">
      <c r="A10" s="5" t="s">
        <v>117</v>
      </c>
      <c r="B10" s="27" t="n">
        <f aca="false">B8+B9</f>
        <v>0.5</v>
      </c>
    </row>
    <row r="13" customFormat="false" ht="26.25" hidden="false" customHeight="true" outlineLevel="0" collapsed="false">
      <c r="A13" s="28"/>
      <c r="B13" s="28" t="s">
        <v>118</v>
      </c>
      <c r="C13" s="28" t="s">
        <v>119</v>
      </c>
      <c r="D13" s="28" t="s">
        <v>120</v>
      </c>
      <c r="E13" s="28" t="s">
        <v>121</v>
      </c>
    </row>
    <row r="14" customFormat="false" ht="15" hidden="false" customHeight="true" outlineLevel="0" collapsed="false">
      <c r="A14" s="13" t="s">
        <v>122</v>
      </c>
      <c r="B14" s="26" t="n">
        <v>0.01</v>
      </c>
      <c r="C14" s="26" t="n">
        <v>0.03</v>
      </c>
      <c r="D14" s="26" t="n">
        <v>0.05</v>
      </c>
      <c r="E14" s="26" t="n">
        <v>0.1</v>
      </c>
    </row>
    <row r="15" customFormat="false" ht="15" hidden="false" customHeight="true" outlineLevel="0" collapsed="false">
      <c r="A15" s="13" t="s">
        <v>123</v>
      </c>
      <c r="B15" s="26" t="n">
        <v>0.02</v>
      </c>
      <c r="C15" s="26" t="n">
        <v>0.025</v>
      </c>
      <c r="D15" s="26" t="n">
        <v>0.025</v>
      </c>
      <c r="E15" s="26" t="n">
        <v>0.03</v>
      </c>
    </row>
    <row r="16" customFormat="false" ht="15" hidden="false" customHeight="true" outlineLevel="0" collapsed="false">
      <c r="A16" s="13" t="s">
        <v>124</v>
      </c>
      <c r="B16" s="18" t="n">
        <f aca="false">$B$5*B14</f>
        <v>2.284</v>
      </c>
      <c r="C16" s="18" t="n">
        <f aca="false">$B$5*C14</f>
        <v>6.852</v>
      </c>
      <c r="D16" s="18" t="n">
        <f aca="false">$B$5*D14</f>
        <v>11.42</v>
      </c>
      <c r="E16" s="18" t="n">
        <f aca="false">$B$5*E14</f>
        <v>22.84</v>
      </c>
    </row>
    <row r="17" customFormat="false" ht="15" hidden="false" customHeight="true" outlineLevel="0" collapsed="false">
      <c r="A17" s="13" t="s">
        <v>125</v>
      </c>
      <c r="B17" s="25" t="n">
        <f aca="false">B16*1000000/$B$6</f>
        <v>152.266666666667</v>
      </c>
      <c r="C17" s="25" t="n">
        <f aca="false">C16*1000000/$B$6</f>
        <v>456.8</v>
      </c>
      <c r="D17" s="25" t="n">
        <f aca="false">D16*1000000/$B$6</f>
        <v>761.333333333333</v>
      </c>
      <c r="E17" s="25" t="n">
        <f aca="false">E16*1000000/$B$6</f>
        <v>1522.66666666667</v>
      </c>
    </row>
    <row r="18" customFormat="false" ht="15" hidden="false" customHeight="true" outlineLevel="0" collapsed="false">
      <c r="A18" s="13" t="s">
        <v>126</v>
      </c>
      <c r="B18" s="25" t="n">
        <f aca="false">B17*$B$10</f>
        <v>76.1333333333333</v>
      </c>
      <c r="C18" s="25" t="n">
        <f aca="false">C17*$B$10</f>
        <v>228.4</v>
      </c>
      <c r="D18" s="25" t="n">
        <f aca="false">D17*$B$10</f>
        <v>380.666666666667</v>
      </c>
      <c r="E18" s="25" t="n">
        <f aca="false">E17*$B$10</f>
        <v>761.333333333333</v>
      </c>
    </row>
    <row r="19" customFormat="false" ht="15" hidden="false" customHeight="true" outlineLevel="0" collapsed="false">
      <c r="A19" s="13" t="s">
        <v>127</v>
      </c>
      <c r="B19" s="29" t="n">
        <f aca="false">$B$6*B15</f>
        <v>300</v>
      </c>
      <c r="C19" s="29" t="n">
        <f aca="false">$B$6*C15</f>
        <v>375</v>
      </c>
      <c r="D19" s="29" t="n">
        <f aca="false">$B$6*D15</f>
        <v>375</v>
      </c>
      <c r="E19" s="29" t="n">
        <f aca="false">$B$6*E15</f>
        <v>450</v>
      </c>
    </row>
    <row r="20" customFormat="false" ht="15" hidden="false" customHeight="true" outlineLevel="0" collapsed="false">
      <c r="A20" s="30" t="s">
        <v>128</v>
      </c>
      <c r="B20" s="31" t="n">
        <f aca="false">B18*B19</f>
        <v>22840</v>
      </c>
      <c r="C20" s="31" t="n">
        <f aca="false">C18*C19</f>
        <v>85650</v>
      </c>
      <c r="D20" s="31" t="n">
        <f aca="false">D18*D19</f>
        <v>142750</v>
      </c>
      <c r="E20" s="31" t="n">
        <f aca="false">E18*E19</f>
        <v>342600</v>
      </c>
    </row>
    <row r="21" customFormat="false" ht="15" hidden="false" customHeight="true" outlineLevel="0" collapsed="false">
      <c r="A21" s="13" t="s">
        <v>129</v>
      </c>
      <c r="B21" s="29" t="n">
        <f aca="false">B20*0.8</f>
        <v>18272</v>
      </c>
      <c r="C21" s="29" t="n">
        <f aca="false">C20*0.8</f>
        <v>68520</v>
      </c>
      <c r="D21" s="29" t="n">
        <f aca="false">D20*0.8</f>
        <v>114200</v>
      </c>
      <c r="E21" s="29" t="n">
        <f aca="false">E20*0.8</f>
        <v>274080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C9A"/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</cols>
  <sheetData>
    <row r="1" customFormat="false" ht="17.25" hidden="false" customHeight="true" outlineLevel="0" collapsed="false">
      <c r="A1" s="2" t="s">
        <v>130</v>
      </c>
    </row>
    <row r="4" customFormat="false" ht="15" hidden="false" customHeight="true" outlineLevel="0" collapsed="false">
      <c r="A4" s="32" t="s">
        <v>131</v>
      </c>
      <c r="B4" s="33"/>
    </row>
    <row r="5" customFormat="false" ht="15" hidden="false" customHeight="true" outlineLevel="0" collapsed="false">
      <c r="A5" s="10" t="s">
        <v>132</v>
      </c>
      <c r="B5" s="24" t="n">
        <v>15000</v>
      </c>
    </row>
    <row r="6" customFormat="false" ht="15" hidden="false" customHeight="true" outlineLevel="0" collapsed="false">
      <c r="A6" s="10" t="s">
        <v>133</v>
      </c>
      <c r="B6" s="26" t="n">
        <v>0.025</v>
      </c>
    </row>
    <row r="7" customFormat="false" ht="15" hidden="false" customHeight="true" outlineLevel="0" collapsed="false">
      <c r="A7" s="10" t="s">
        <v>134</v>
      </c>
      <c r="B7" s="29" t="n">
        <f aca="false">B5*B6</f>
        <v>375</v>
      </c>
    </row>
    <row r="8" customFormat="false" ht="15" hidden="false" customHeight="true" outlineLevel="0" collapsed="false">
      <c r="A8" s="16"/>
    </row>
    <row r="9" customFormat="false" ht="15" hidden="false" customHeight="true" outlineLevel="0" collapsed="false">
      <c r="A9" s="32" t="s">
        <v>135</v>
      </c>
      <c r="B9" s="33"/>
    </row>
    <row r="10" customFormat="false" ht="15" hidden="false" customHeight="true" outlineLevel="0" collapsed="false">
      <c r="A10" s="10" t="s">
        <v>136</v>
      </c>
      <c r="B10" s="34" t="n">
        <v>0.15</v>
      </c>
    </row>
    <row r="11" customFormat="false" ht="15" hidden="false" customHeight="true" outlineLevel="0" collapsed="false">
      <c r="A11" s="10" t="s">
        <v>137</v>
      </c>
      <c r="B11" s="34" t="n">
        <v>0.5</v>
      </c>
    </row>
    <row r="12" customFormat="false" ht="15" hidden="false" customHeight="true" outlineLevel="0" collapsed="false">
      <c r="A12" s="10" t="s">
        <v>138</v>
      </c>
      <c r="B12" s="34" t="n">
        <v>1</v>
      </c>
    </row>
    <row r="13" customFormat="false" ht="15" hidden="false" customHeight="true" outlineLevel="0" collapsed="false">
      <c r="A13" s="10" t="s">
        <v>139</v>
      </c>
      <c r="B13" s="35" t="n">
        <f aca="false">B10+B11+B12</f>
        <v>1.65</v>
      </c>
    </row>
    <row r="14" customFormat="false" ht="15" hidden="false" customHeight="true" outlineLevel="0" collapsed="false">
      <c r="A14" s="16"/>
    </row>
    <row r="15" customFormat="false" ht="15" hidden="false" customHeight="true" outlineLevel="0" collapsed="false">
      <c r="A15" s="32" t="s">
        <v>140</v>
      </c>
      <c r="B15" s="33"/>
    </row>
    <row r="16" customFormat="false" ht="15" hidden="false" customHeight="true" outlineLevel="0" collapsed="false">
      <c r="A16" s="10" t="s">
        <v>141</v>
      </c>
      <c r="B16" s="26" t="n">
        <v>0.5</v>
      </c>
    </row>
    <row r="17" customFormat="false" ht="15" hidden="false" customHeight="true" outlineLevel="0" collapsed="false">
      <c r="A17" s="10" t="s">
        <v>142</v>
      </c>
      <c r="B17" s="29" t="n">
        <f aca="false">B7*B16</f>
        <v>187.5</v>
      </c>
    </row>
    <row r="18" customFormat="false" ht="15" hidden="false" customHeight="true" outlineLevel="0" collapsed="false">
      <c r="A18" s="10" t="s">
        <v>143</v>
      </c>
      <c r="B18" s="29" t="n">
        <f aca="false">B17-B13</f>
        <v>185.85</v>
      </c>
    </row>
    <row r="19" customFormat="false" ht="15" hidden="false" customHeight="true" outlineLevel="0" collapsed="false">
      <c r="A19" s="10" t="s">
        <v>144</v>
      </c>
      <c r="B19" s="27" t="n">
        <f aca="false">B18/B17</f>
        <v>0.9912</v>
      </c>
    </row>
    <row r="20" customFormat="false" ht="15" hidden="false" customHeight="true" outlineLevel="0" collapsed="false">
      <c r="A20" s="16"/>
    </row>
    <row r="21" customFormat="false" ht="15" hidden="false" customHeight="true" outlineLevel="0" collapsed="false">
      <c r="A21" s="32" t="s">
        <v>145</v>
      </c>
      <c r="B21" s="33"/>
    </row>
    <row r="22" customFormat="false" ht="15" hidden="false" customHeight="true" outlineLevel="0" collapsed="false">
      <c r="A22" s="10" t="s">
        <v>146</v>
      </c>
      <c r="B22" s="24" t="n">
        <v>500</v>
      </c>
    </row>
    <row r="23" customFormat="false" ht="15" hidden="false" customHeight="true" outlineLevel="0" collapsed="false">
      <c r="A23" s="10" t="s">
        <v>147</v>
      </c>
      <c r="B23" s="25" t="n">
        <f aca="false">B22/B18</f>
        <v>2.69034167339252</v>
      </c>
    </row>
    <row r="24" customFormat="false" ht="15" hidden="false" customHeight="true" outlineLevel="0" collapsed="false">
      <c r="A24" s="16"/>
    </row>
    <row r="25" customFormat="false" ht="15" hidden="false" customHeight="true" outlineLevel="0" collapsed="false">
      <c r="A25" s="32" t="s">
        <v>148</v>
      </c>
      <c r="B25" s="33"/>
    </row>
    <row r="26" customFormat="false" ht="15" hidden="false" customHeight="true" outlineLevel="0" collapsed="false">
      <c r="A26" s="10" t="s">
        <v>149</v>
      </c>
      <c r="B26" s="24" t="n">
        <v>1500</v>
      </c>
    </row>
    <row r="27" customFormat="false" ht="15" hidden="false" customHeight="true" outlineLevel="0" collapsed="false">
      <c r="A27" s="10" t="s">
        <v>150</v>
      </c>
      <c r="B27" s="29" t="n">
        <f aca="false">B7</f>
        <v>375</v>
      </c>
    </row>
    <row r="28" customFormat="false" ht="15" hidden="false" customHeight="true" outlineLevel="0" collapsed="false">
      <c r="A28" s="10" t="s">
        <v>151</v>
      </c>
      <c r="B28" s="29" t="n">
        <f aca="false">B26-B27</f>
        <v>1125</v>
      </c>
    </row>
    <row r="29" customFormat="false" ht="15" hidden="false" customHeight="true" outlineLevel="0" collapsed="false">
      <c r="A29" s="10" t="s">
        <v>152</v>
      </c>
      <c r="B29" s="27" t="n">
        <f aca="false">B28/B26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5B39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5" min="5" style="1" width="45"/>
  </cols>
  <sheetData>
    <row r="1" customFormat="false" ht="17.25" hidden="false" customHeight="true" outlineLevel="0" collapsed="false">
      <c r="A1" s="2" t="s">
        <v>153</v>
      </c>
    </row>
    <row r="3" customFormat="false" ht="15" hidden="false" customHeight="true" outlineLevel="0" collapsed="false">
      <c r="A3" s="36" t="s">
        <v>154</v>
      </c>
      <c r="B3" s="36" t="s">
        <v>155</v>
      </c>
      <c r="C3" s="36" t="s">
        <v>156</v>
      </c>
      <c r="D3" s="36" t="s">
        <v>157</v>
      </c>
      <c r="E3" s="36" t="s">
        <v>158</v>
      </c>
    </row>
    <row r="4" customFormat="false" ht="15" hidden="false" customHeight="true" outlineLevel="0" collapsed="false">
      <c r="A4" s="6" t="s">
        <v>159</v>
      </c>
      <c r="B4" s="37" t="s">
        <v>160</v>
      </c>
      <c r="C4" s="6" t="s">
        <v>161</v>
      </c>
      <c r="D4" s="6" t="s">
        <v>162</v>
      </c>
      <c r="E4" s="6" t="s">
        <v>163</v>
      </c>
    </row>
    <row r="5" customFormat="false" ht="15" hidden="false" customHeight="true" outlineLevel="0" collapsed="false">
      <c r="A5" s="9" t="s">
        <v>164</v>
      </c>
      <c r="B5" s="37" t="s">
        <v>160</v>
      </c>
      <c r="C5" s="9" t="s">
        <v>165</v>
      </c>
      <c r="D5" s="9" t="s">
        <v>166</v>
      </c>
      <c r="E5" s="9" t="s">
        <v>167</v>
      </c>
    </row>
    <row r="6" customFormat="false" ht="15" hidden="false" customHeight="true" outlineLevel="0" collapsed="false">
      <c r="A6" s="6" t="s">
        <v>168</v>
      </c>
      <c r="B6" s="38" t="s">
        <v>161</v>
      </c>
      <c r="C6" s="6" t="s">
        <v>161</v>
      </c>
      <c r="D6" s="6" t="s">
        <v>169</v>
      </c>
      <c r="E6" s="6" t="s">
        <v>170</v>
      </c>
    </row>
    <row r="7" customFormat="false" ht="15" hidden="false" customHeight="true" outlineLevel="0" collapsed="false">
      <c r="A7" s="9" t="s">
        <v>171</v>
      </c>
      <c r="B7" s="38" t="s">
        <v>161</v>
      </c>
      <c r="C7" s="9" t="s">
        <v>165</v>
      </c>
      <c r="D7" s="9" t="s">
        <v>172</v>
      </c>
      <c r="E7" s="9" t="s">
        <v>173</v>
      </c>
    </row>
    <row r="8" customFormat="false" ht="15" hidden="false" customHeight="true" outlineLevel="0" collapsed="false">
      <c r="A8" s="6" t="s">
        <v>174</v>
      </c>
      <c r="B8" s="6" t="s">
        <v>165</v>
      </c>
      <c r="C8" s="6" t="s">
        <v>165</v>
      </c>
      <c r="D8" s="6" t="s">
        <v>175</v>
      </c>
      <c r="E8" s="6" t="s">
        <v>176</v>
      </c>
    </row>
    <row r="9" customFormat="false" ht="15" hidden="false" customHeight="true" outlineLevel="0" collapsed="false">
      <c r="A9" s="9" t="s">
        <v>177</v>
      </c>
      <c r="B9" s="38" t="s">
        <v>161</v>
      </c>
      <c r="C9" s="9" t="s">
        <v>178</v>
      </c>
      <c r="D9" s="9" t="s">
        <v>179</v>
      </c>
      <c r="E9" s="9" t="s">
        <v>180</v>
      </c>
    </row>
    <row r="10" customFormat="false" ht="15" hidden="false" customHeight="true" outlineLevel="0" collapsed="false">
      <c r="A10" s="6" t="s">
        <v>181</v>
      </c>
      <c r="B10" s="6" t="s">
        <v>165</v>
      </c>
      <c r="C10" s="6" t="s">
        <v>161</v>
      </c>
      <c r="D10" s="6" t="s">
        <v>182</v>
      </c>
      <c r="E10" s="6" t="s">
        <v>183</v>
      </c>
    </row>
    <row r="11" customFormat="false" ht="15" hidden="false" customHeight="true" outlineLevel="0" collapsed="false">
      <c r="A11" s="9" t="s">
        <v>184</v>
      </c>
      <c r="B11" s="38" t="s">
        <v>161</v>
      </c>
      <c r="C11" s="9" t="s">
        <v>165</v>
      </c>
      <c r="D11" s="9" t="s">
        <v>185</v>
      </c>
      <c r="E11" s="9" t="s">
        <v>186</v>
      </c>
    </row>
    <row r="14" customFormat="false" ht="15" hidden="false" customHeight="true" outlineLevel="0" collapsed="false">
      <c r="A14" s="39" t="s">
        <v>187</v>
      </c>
    </row>
    <row r="15" customFormat="false" ht="15" hidden="false" customHeight="true" outlineLevel="0" collapsed="false">
      <c r="A15" s="36" t="s">
        <v>3</v>
      </c>
      <c r="B15" s="36" t="s">
        <v>188</v>
      </c>
      <c r="C15" s="36" t="s">
        <v>189</v>
      </c>
      <c r="D15" s="36" t="s">
        <v>190</v>
      </c>
    </row>
    <row r="16" customFormat="false" ht="15" hidden="false" customHeight="true" outlineLevel="0" collapsed="false">
      <c r="A16" s="6" t="s">
        <v>191</v>
      </c>
      <c r="B16" s="6" t="s">
        <v>192</v>
      </c>
      <c r="C16" s="37" t="s">
        <v>193</v>
      </c>
      <c r="D16" s="6" t="s">
        <v>194</v>
      </c>
    </row>
    <row r="17" customFormat="false" ht="15" hidden="false" customHeight="true" outlineLevel="0" collapsed="false">
      <c r="A17" s="9" t="s">
        <v>195</v>
      </c>
      <c r="B17" s="9" t="s">
        <v>196</v>
      </c>
      <c r="C17" s="40" t="s">
        <v>197</v>
      </c>
      <c r="D17" s="9" t="s">
        <v>198</v>
      </c>
    </row>
    <row r="18" customFormat="false" ht="15" hidden="false" customHeight="true" outlineLevel="0" collapsed="false">
      <c r="A18" s="6" t="s">
        <v>199</v>
      </c>
      <c r="B18" s="6" t="s">
        <v>200</v>
      </c>
      <c r="C18" s="38" t="s">
        <v>201</v>
      </c>
      <c r="D18" s="6" t="s">
        <v>202</v>
      </c>
    </row>
    <row r="19" customFormat="false" ht="15" hidden="false" customHeight="true" outlineLevel="0" collapsed="false">
      <c r="A19" s="9" t="s">
        <v>203</v>
      </c>
      <c r="B19" s="9" t="s">
        <v>204</v>
      </c>
      <c r="C19" s="38" t="s">
        <v>205</v>
      </c>
      <c r="D19" s="9" t="s">
        <v>206</v>
      </c>
    </row>
    <row r="20" customFormat="false" ht="15" hidden="false" customHeight="true" outlineLevel="0" collapsed="false">
      <c r="A20" s="6" t="s">
        <v>207</v>
      </c>
      <c r="B20" s="6" t="s">
        <v>208</v>
      </c>
      <c r="C20" s="40" t="s">
        <v>197</v>
      </c>
      <c r="D20" s="6" t="s">
        <v>209</v>
      </c>
    </row>
    <row r="21" customFormat="false" ht="15" hidden="false" customHeight="true" outlineLevel="0" collapsed="false">
      <c r="A21" s="9" t="s">
        <v>210</v>
      </c>
      <c r="B21" s="9" t="s">
        <v>211</v>
      </c>
      <c r="C21" s="40" t="s">
        <v>197</v>
      </c>
      <c r="D21" s="9" t="s">
        <v>212</v>
      </c>
    </row>
    <row r="22" customFormat="false" ht="15" hidden="false" customHeight="true" outlineLevel="0" collapsed="false">
      <c r="A22" s="6" t="s">
        <v>213</v>
      </c>
      <c r="B22" s="6" t="s">
        <v>214</v>
      </c>
      <c r="C22" s="40" t="s">
        <v>197</v>
      </c>
      <c r="D22" s="6" t="s">
        <v>215</v>
      </c>
    </row>
    <row r="23" customFormat="false" ht="15" hidden="false" customHeight="true" outlineLevel="0" collapsed="false">
      <c r="A23" s="9" t="s">
        <v>216</v>
      </c>
      <c r="B23" s="9" t="s">
        <v>217</v>
      </c>
      <c r="C23" s="40" t="s">
        <v>197</v>
      </c>
      <c r="D23" s="9" t="s">
        <v>218</v>
      </c>
    </row>
    <row r="24" customFormat="false" ht="15" hidden="false" customHeight="true" outlineLevel="0" collapsed="false">
      <c r="A24" s="6" t="s">
        <v>219</v>
      </c>
      <c r="B24" s="6" t="s">
        <v>220</v>
      </c>
      <c r="C24" s="40" t="s">
        <v>197</v>
      </c>
      <c r="D24" s="6" t="s">
        <v>221</v>
      </c>
    </row>
    <row r="25" customFormat="false" ht="15" hidden="false" customHeight="true" outlineLevel="0" collapsed="false">
      <c r="A25" s="9" t="s">
        <v>222</v>
      </c>
      <c r="B25" s="9" t="s">
        <v>223</v>
      </c>
      <c r="C25" s="40" t="s">
        <v>197</v>
      </c>
      <c r="D25" s="9" t="s">
        <v>224</v>
      </c>
    </row>
    <row r="26" customFormat="false" ht="15" hidden="false" customHeight="true" outlineLevel="0" collapsed="false">
      <c r="A26" s="6" t="s">
        <v>225</v>
      </c>
      <c r="B26" s="6" t="s">
        <v>226</v>
      </c>
      <c r="C26" s="40" t="s">
        <v>197</v>
      </c>
      <c r="D26" s="6" t="s">
        <v>227</v>
      </c>
    </row>
    <row r="27" customFormat="false" ht="15" hidden="false" customHeight="true" outlineLevel="0" collapsed="false">
      <c r="A27" s="9" t="s">
        <v>25</v>
      </c>
      <c r="B27" s="9" t="s">
        <v>228</v>
      </c>
      <c r="C27" s="40" t="s">
        <v>197</v>
      </c>
      <c r="D27" s="9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2026-05-07T19:07:21Z</dcterms:created>
  <dc:creator>openpyxl</dc:creator>
  <dc:description/>
  <dc:language>en-US</dc:language>
  <cp:lastModifiedBy/>
  <dcterms:modified xsi:type="dcterms:W3CDTF">2026-05-07T19:07:41Z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